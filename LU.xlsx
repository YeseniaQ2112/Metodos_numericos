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900" activeTab="1"/>
  </bookViews>
  <sheets>
    <sheet name="exacta" sheetId="1" r:id="rId1"/>
    <sheet name="Hoja2" sheetId="2" r:id="rId2"/>
    <sheet name="DESAFI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<sst xmlns="http://schemas.openxmlformats.org/spreadsheetml/2006/main" count="38" uniqueCount="33">
  <si>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a =</t>
  </si>
  <si>
    <t xml:space="preserve">   8   4  -1</t>
  </si>
  <si>
    <t xml:space="preserve">  -2   5   1</t>
  </si>
  <si>
    <t xml:space="preserve">   2  -1   6</t>
  </si>
  <si>
    <t>b =</t>
  </si>
  <si>
    <t>x =</t>
  </si>
  <si>
    <t>l =</t>
  </si>
  <si>
    <t xml:space="preserve">   1.0000        0        0</t>
  </si>
  <si>
    <t xml:space="preserve">  -0.2500   1.0000        0</t>
  </si>
  <si>
    <t xml:space="preserve">   0.2500  -0.3333   1.0000</t>
  </si>
  <si>
    <t>u =</t>
  </si>
  <si>
    <t xml:space="preserve">   8.0000   4.0000  -1.0000</t>
  </si>
  <si>
    <t xml:space="preserve">        0   6.0000   0.7500</t>
  </si>
  <si>
    <t xml:space="preserve">        0        0   6.5000</t>
  </si>
  <si>
    <t>ans =</t>
  </si>
  <si>
    <t xml:space="preserve"> a=[ 8,4,-1;-2,5,1;2,-1,6]</t>
  </si>
  <si>
    <t>&gt;&gt; b=[7.85;-19.3;71.4]</t>
  </si>
  <si>
    <t>a= u0</t>
  </si>
  <si>
    <t>-f21 *a1i + a2i</t>
  </si>
  <si>
    <t>u1=</t>
  </si>
  <si>
    <t>L0</t>
  </si>
  <si>
    <t>f21</t>
  </si>
  <si>
    <t>f31</t>
  </si>
  <si>
    <t>f32</t>
  </si>
  <si>
    <t>u2</t>
  </si>
  <si>
    <t>u3</t>
  </si>
  <si>
    <t>a= l* u</t>
  </si>
  <si>
    <t xml:space="preserve">L d =b </t>
  </si>
  <si>
    <t>inv(L) * b</t>
  </si>
  <si>
    <t>inv(L)</t>
  </si>
  <si>
    <t>U x = d</t>
  </si>
  <si>
    <t>inv(U)</t>
  </si>
  <si>
    <t>inv(u) *d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</si>
</sst>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  <numFmt numFmtId="178" formatCode="#,##0.0"/>
  </numFmts>
  <fonts count="23">
    <font>
      <sz val="11"/>
      <color theme="1"/>
      <name val="Calibri"/>
      <charset val="134"/>
      <scheme val="minor"/>
    </font>
    <font>
      <sz val="10.5"/>
      <name val="Courier New"/>
      <charset val="134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2" borderId="0" xfId="0" applyFill="1"/>
    <xf numFmtId="4" fontId="0" fillId="0" borderId="0" xfId="0" applyNumberFormat="1"/>
    <xf numFmtId="3" fontId="0" fillId="3" borderId="0" xfId="0" applyNumberFormat="1" applyFill="1"/>
    <xf numFmtId="0" fontId="0" fillId="3" borderId="0" xfId="0" applyFill="1"/>
    <xf numFmtId="178" fontId="0" fillId="3" borderId="0" xfId="0" applyNumberFormat="1" applyFill="1"/>
    <xf numFmtId="3" fontId="0" fillId="2" borderId="0" xfId="0" applyNumberFormat="1" applyFill="1"/>
    <xf numFmtId="0" fontId="0" fillId="0" borderId="0" xfId="0" applyAlignment="1">
      <alignment horizontal="right"/>
    </xf>
    <xf numFmtId="0" fontId="0" fillId="4" borderId="0" xfId="0" applyFill="1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quotePrefix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695183</xdr:colOff>
      <xdr:row>23</xdr:row>
      <xdr:rowOff>142875</xdr:rowOff>
    </xdr:from>
    <xdr:to>
      <xdr:col>8</xdr:col>
      <xdr:colOff>166214</xdr:colOff>
      <xdr:row>25</xdr:row>
      <xdr:rowOff>189228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95240" y="4524375"/>
          <a:ext cx="937895" cy="426720"/>
        </a:xfrm>
        <a:prstGeom prst="rect">
          <a:avLst/>
        </a:prstGeom>
      </xdr:spPr>
    </xdr:pic>
    <xdr:clientData/>
  </xdr:twoCellAnchor>
  <xdr:twoCellAnchor editAs="oneCell">
    <xdr:from>
      <xdr:col>6</xdr:col>
      <xdr:colOff>635403</xdr:colOff>
      <xdr:row>28</xdr:row>
      <xdr:rowOff>183696</xdr:rowOff>
    </xdr:from>
    <xdr:to>
      <xdr:col>8</xdr:col>
      <xdr:colOff>213833</xdr:colOff>
      <xdr:row>37</xdr:row>
      <xdr:rowOff>31581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035550" y="5517515"/>
          <a:ext cx="1045210" cy="1562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400050</xdr:colOff>
      <xdr:row>1</xdr:row>
      <xdr:rowOff>114300</xdr:rowOff>
    </xdr:from>
    <xdr:to>
      <xdr:col>9</xdr:col>
      <xdr:colOff>477005</xdr:colOff>
      <xdr:row>22</xdr:row>
      <xdr:rowOff>162490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6900" y="304800"/>
          <a:ext cx="5210810" cy="4048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7</xdr:col>
      <xdr:colOff>29004</xdr:colOff>
      <xdr:row>52</xdr:row>
      <xdr:rowOff>115034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200275" y="4762500"/>
          <a:ext cx="2962275" cy="525843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11</xdr:col>
      <xdr:colOff>686215</xdr:colOff>
      <xdr:row>52</xdr:row>
      <xdr:rowOff>19771</xdr:rowOff>
    </xdr:to>
    <xdr:pic>
      <xdr:nvPicPr>
        <xdr:cNvPr id="4" name="Imagen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867400" y="4762500"/>
          <a:ext cx="2886075" cy="51631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C37"/>
  <sheetViews>
    <sheetView zoomScale="93" zoomScaleNormal="93" topLeftCell="A5" workbookViewId="0">
      <selection activeCell="E15" sqref="E15"/>
    </sheetView>
  </sheetViews>
  <sheetFormatPr defaultColWidth="11" defaultRowHeight="15" outlineLevelCol="2"/>
  <sheetData>
    <row r="3" spans="3:3">
      <c r="C3" s="9" t="s">
        <v>0</v>
      </c>
    </row>
    <row r="4" spans="3:3">
      <c r="C4" s="10"/>
    </row>
    <row r="5" spans="3:3">
      <c r="C5" s="9" t="s">
        <v>1</v>
      </c>
    </row>
    <row r="6" spans="3:3">
      <c r="C6" s="9" t="s">
        <v>2</v>
      </c>
    </row>
    <row r="7" spans="3:3">
      <c r="C7" s="9" t="s">
        <v>3</v>
      </c>
    </row>
    <row r="8" spans="3:3">
      <c r="C8" s="10"/>
    </row>
    <row r="9" spans="3:3">
      <c r="C9" s="9" t="s">
        <v>4</v>
      </c>
    </row>
    <row r="10" spans="3:3">
      <c r="C10" s="10"/>
    </row>
    <row r="11" spans="3:3">
      <c r="C11" s="11">
        <v>11</v>
      </c>
    </row>
    <row r="12" spans="3:3">
      <c r="C12" s="11">
        <v>4</v>
      </c>
    </row>
    <row r="13" spans="3:3">
      <c r="C13" s="11">
        <v>7</v>
      </c>
    </row>
    <row r="14" spans="3:3">
      <c r="C14" s="10"/>
    </row>
    <row r="15" spans="3:3">
      <c r="C15" s="9" t="s">
        <v>5</v>
      </c>
    </row>
    <row r="16" spans="3:3">
      <c r="C16" s="10"/>
    </row>
    <row r="17" spans="3:3">
      <c r="C17" s="11">
        <v>1</v>
      </c>
    </row>
    <row r="18" spans="3:3">
      <c r="C18" s="11">
        <v>1</v>
      </c>
    </row>
    <row r="19" spans="3:3">
      <c r="C19" s="11">
        <v>1</v>
      </c>
    </row>
    <row r="20" spans="3:3">
      <c r="C20" s="10"/>
    </row>
    <row r="21" spans="3:3">
      <c r="C21" s="9" t="s">
        <v>6</v>
      </c>
    </row>
    <row r="22" spans="3:3">
      <c r="C22" s="10"/>
    </row>
    <row r="23" spans="3:3">
      <c r="C23" s="9" t="s">
        <v>7</v>
      </c>
    </row>
    <row r="24" spans="3:3">
      <c r="C24" s="9" t="s">
        <v>8</v>
      </c>
    </row>
    <row r="25" spans="3:3">
      <c r="C25" s="9" t="s">
        <v>9</v>
      </c>
    </row>
    <row r="26" spans="3:3">
      <c r="C26" s="10"/>
    </row>
    <row r="27" spans="3:3">
      <c r="C27" s="9" t="s">
        <v>10</v>
      </c>
    </row>
    <row r="28" spans="3:3">
      <c r="C28" s="10"/>
    </row>
    <row r="29" spans="3:3">
      <c r="C29" s="9" t="s">
        <v>11</v>
      </c>
    </row>
    <row r="30" spans="3:3">
      <c r="C30" s="9" t="s">
        <v>12</v>
      </c>
    </row>
    <row r="31" spans="3:3">
      <c r="C31" s="9" t="s">
        <v>13</v>
      </c>
    </row>
    <row r="32" spans="3:3">
      <c r="C32" s="10"/>
    </row>
    <row r="33" spans="3:3">
      <c r="C33" s="9" t="s">
        <v>14</v>
      </c>
    </row>
    <row r="34" spans="3:3">
      <c r="C34" s="10"/>
    </row>
    <row r="35" spans="3:3">
      <c r="C35" s="9" t="s">
        <v>1</v>
      </c>
    </row>
    <row r="36" spans="3:3">
      <c r="C36" s="9" t="s">
        <v>2</v>
      </c>
    </row>
    <row r="37" spans="3:3">
      <c r="C37" s="9" t="s">
        <v>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L54"/>
  <sheetViews>
    <sheetView tabSelected="1" zoomScale="84" zoomScaleNormal="84" topLeftCell="A23" workbookViewId="0">
      <selection activeCell="F27" sqref="F27"/>
    </sheetView>
  </sheetViews>
  <sheetFormatPr defaultColWidth="11" defaultRowHeight="15"/>
  <cols>
    <col min="10" max="12" width="7.71428571428571" customWidth="1"/>
  </cols>
  <sheetData>
    <row r="4" spans="4:4">
      <c r="D4" t="s">
        <v>15</v>
      </c>
    </row>
    <row r="5" spans="4:4">
      <c r="D5" t="s">
        <v>0</v>
      </c>
    </row>
    <row r="7" spans="4:6">
      <c r="D7" s="1">
        <v>8</v>
      </c>
      <c r="E7" s="1">
        <v>4</v>
      </c>
      <c r="F7" s="1">
        <v>-1</v>
      </c>
    </row>
    <row r="8" spans="4:6">
      <c r="D8" s="1">
        <v>-2</v>
      </c>
      <c r="E8" s="1">
        <v>5</v>
      </c>
      <c r="F8" s="1">
        <v>1</v>
      </c>
    </row>
    <row r="9" spans="4:6">
      <c r="D9" s="1">
        <v>2</v>
      </c>
      <c r="E9" s="1">
        <v>-1</v>
      </c>
      <c r="F9" s="1">
        <v>6</v>
      </c>
    </row>
    <row r="11" spans="4:4">
      <c r="D11" t="s">
        <v>16</v>
      </c>
    </row>
    <row r="12" spans="4:4">
      <c r="D12" t="s">
        <v>4</v>
      </c>
    </row>
    <row r="14" spans="4:4">
      <c r="D14" s="2">
        <v>11</v>
      </c>
    </row>
    <row r="15" spans="4:4">
      <c r="D15" s="2">
        <v>4</v>
      </c>
    </row>
    <row r="16" spans="4:4">
      <c r="D16" s="2">
        <v>7</v>
      </c>
    </row>
    <row r="19" spans="4:6">
      <c r="D19" s="3">
        <v>8</v>
      </c>
      <c r="E19" s="4">
        <v>4</v>
      </c>
      <c r="F19" s="4">
        <v>-1</v>
      </c>
    </row>
    <row r="20" spans="2:10">
      <c r="B20" t="s">
        <v>17</v>
      </c>
      <c r="D20" s="5">
        <v>-2</v>
      </c>
      <c r="E20" s="4">
        <v>5</v>
      </c>
      <c r="F20" s="4">
        <v>1</v>
      </c>
      <c r="J20" s="12" t="s">
        <v>18</v>
      </c>
    </row>
    <row r="21" spans="4:6">
      <c r="D21" s="4">
        <v>2</v>
      </c>
      <c r="E21" s="4">
        <v>-1</v>
      </c>
      <c r="F21" s="4">
        <v>6</v>
      </c>
    </row>
    <row r="24" spans="2:12">
      <c r="B24" t="s">
        <v>19</v>
      </c>
      <c r="D24" s="1">
        <v>8</v>
      </c>
      <c r="E24" s="1">
        <v>4</v>
      </c>
      <c r="F24" s="1">
        <v>-1</v>
      </c>
      <c r="I24" s="7" t="s">
        <v>20</v>
      </c>
      <c r="J24" s="1">
        <v>1</v>
      </c>
      <c r="K24" s="1">
        <v>0</v>
      </c>
      <c r="L24" s="1">
        <v>0</v>
      </c>
    </row>
    <row r="25" spans="4:12">
      <c r="D25" s="6">
        <f>+-J25*D19+D20</f>
        <v>0</v>
      </c>
      <c r="E25" s="1">
        <f>+-J25*E19+E20</f>
        <v>6</v>
      </c>
      <c r="F25" s="1">
        <f>+-J25*F19+F20</f>
        <v>0.75</v>
      </c>
      <c r="J25" s="1">
        <f>+D20/D19</f>
        <v>-0.25</v>
      </c>
      <c r="K25" s="1">
        <v>1</v>
      </c>
      <c r="L25" s="1">
        <v>0</v>
      </c>
    </row>
    <row r="26" spans="4:12">
      <c r="D26" s="1">
        <v>2</v>
      </c>
      <c r="E26" s="1">
        <v>-1</v>
      </c>
      <c r="F26" s="1">
        <v>6</v>
      </c>
      <c r="J26" s="1">
        <f>+D26/D24</f>
        <v>0.25</v>
      </c>
      <c r="K26" s="1">
        <f>+E32/E31</f>
        <v>-0.333333333333333</v>
      </c>
      <c r="L26" s="1">
        <v>1</v>
      </c>
    </row>
    <row r="28" spans="10:12">
      <c r="J28" s="8">
        <v>1</v>
      </c>
      <c r="K28" s="8">
        <v>0</v>
      </c>
      <c r="L28" s="8">
        <v>0</v>
      </c>
    </row>
    <row r="29" spans="10:12">
      <c r="J29" s="8" t="s">
        <v>21</v>
      </c>
      <c r="K29" s="8">
        <v>1</v>
      </c>
      <c r="L29" s="8">
        <v>0</v>
      </c>
    </row>
    <row r="30" spans="4:12">
      <c r="D30" s="1">
        <v>8</v>
      </c>
      <c r="E30" s="1">
        <v>4</v>
      </c>
      <c r="F30" s="1">
        <v>-1</v>
      </c>
      <c r="J30" s="8" t="s">
        <v>22</v>
      </c>
      <c r="K30" s="8" t="s">
        <v>23</v>
      </c>
      <c r="L30" s="8">
        <v>1</v>
      </c>
    </row>
    <row r="31" spans="2:6">
      <c r="B31" t="s">
        <v>24</v>
      </c>
      <c r="D31" s="1">
        <v>0</v>
      </c>
      <c r="E31" s="1">
        <f>+E25</f>
        <v>6</v>
      </c>
      <c r="F31" s="1">
        <f>+F25</f>
        <v>0.75</v>
      </c>
    </row>
    <row r="32" spans="4:6">
      <c r="D32" s="1">
        <f>+-J26*D24+D26</f>
        <v>0</v>
      </c>
      <c r="E32" s="1">
        <f>+-J26*E24+E26</f>
        <v>-2</v>
      </c>
      <c r="F32" s="1">
        <f>+-J26*F24+F26</f>
        <v>6.25</v>
      </c>
    </row>
    <row r="36" spans="2:6">
      <c r="B36" t="s">
        <v>25</v>
      </c>
      <c r="D36" s="1">
        <f>+D30</f>
        <v>8</v>
      </c>
      <c r="E36" s="1">
        <f t="shared" ref="E36:F36" si="0">+E30</f>
        <v>4</v>
      </c>
      <c r="F36" s="1">
        <f t="shared" si="0"/>
        <v>-1</v>
      </c>
    </row>
    <row r="37" spans="4:6">
      <c r="D37" s="1">
        <f>+D31</f>
        <v>0</v>
      </c>
      <c r="E37" s="1">
        <f t="shared" ref="E37:F37" si="1">+E31</f>
        <v>6</v>
      </c>
      <c r="F37" s="1">
        <f t="shared" si="1"/>
        <v>0.75</v>
      </c>
    </row>
    <row r="38" spans="4:6">
      <c r="D38" s="1">
        <f>+D37</f>
        <v>0</v>
      </c>
      <c r="E38" s="1">
        <f>+-K26*E31+E32</f>
        <v>0</v>
      </c>
      <c r="F38" s="1">
        <f>+-K26*F31+F32</f>
        <v>6.5</v>
      </c>
    </row>
    <row r="42" spans="2:6">
      <c r="B42" t="s">
        <v>26</v>
      </c>
      <c r="D42" s="1">
        <f t="array" ref="D42:F44">+MMULT(J24:L26,D36:F38)</f>
        <v>8</v>
      </c>
      <c r="E42" s="1">
        <v>4</v>
      </c>
      <c r="F42" s="1">
        <v>-1</v>
      </c>
    </row>
    <row r="43" spans="4:6">
      <c r="D43" s="1">
        <v>-2</v>
      </c>
      <c r="E43" s="1">
        <v>5</v>
      </c>
      <c r="F43" s="1">
        <v>1</v>
      </c>
    </row>
    <row r="44" spans="4:6">
      <c r="D44" s="1">
        <v>2</v>
      </c>
      <c r="E44" s="1">
        <v>-1</v>
      </c>
      <c r="F44" s="1">
        <v>6</v>
      </c>
    </row>
    <row r="47" spans="2:11">
      <c r="B47" s="1"/>
      <c r="I47">
        <f t="array" ref="I47:K49">+MINVERSE(J24:L26)</f>
        <v>1</v>
      </c>
      <c r="J47">
        <v>0</v>
      </c>
      <c r="K47">
        <v>0</v>
      </c>
    </row>
    <row r="48" spans="2:11">
      <c r="B48" s="1" t="s">
        <v>27</v>
      </c>
      <c r="D48">
        <f t="array" ref="D48:D50">+MMULT(I47:K49,D14:D16)</f>
        <v>11</v>
      </c>
      <c r="F48" t="s">
        <v>28</v>
      </c>
      <c r="H48" t="s">
        <v>29</v>
      </c>
      <c r="I48">
        <v>0.25</v>
      </c>
      <c r="J48">
        <v>1</v>
      </c>
      <c r="K48">
        <v>0</v>
      </c>
    </row>
    <row r="49" spans="2:11">
      <c r="B49" s="1"/>
      <c r="D49">
        <v>6.75</v>
      </c>
      <c r="I49">
        <v>-0.166666666666667</v>
      </c>
      <c r="J49">
        <v>0.333333333333333</v>
      </c>
      <c r="K49">
        <v>1</v>
      </c>
    </row>
    <row r="50" spans="2:4">
      <c r="B50" s="1"/>
      <c r="D50">
        <v>6.5</v>
      </c>
    </row>
    <row r="51" spans="2:2">
      <c r="B51" s="1"/>
    </row>
    <row r="52" spans="2:11">
      <c r="B52" s="1" t="s">
        <v>30</v>
      </c>
      <c r="D52" s="1">
        <f t="array" ref="D52:D54">+MMULT(I52:K54,D48:D50)</f>
        <v>1</v>
      </c>
      <c r="H52" t="s">
        <v>31</v>
      </c>
      <c r="I52">
        <f t="array" ref="I52:K54">+MINVERSE(D36:F38)</f>
        <v>0.125</v>
      </c>
      <c r="J52">
        <v>-0.0833333333333333</v>
      </c>
      <c r="K52">
        <v>0.0288461538461538</v>
      </c>
    </row>
    <row r="53" spans="2:11">
      <c r="B53" s="1"/>
      <c r="D53" s="1">
        <v>1</v>
      </c>
      <c r="F53" t="s">
        <v>32</v>
      </c>
      <c r="I53">
        <v>0</v>
      </c>
      <c r="J53">
        <v>0.166666666666667</v>
      </c>
      <c r="K53">
        <v>-0.0192307692307692</v>
      </c>
    </row>
    <row r="54" spans="2:11">
      <c r="B54" s="1"/>
      <c r="D54" s="1">
        <v>1</v>
      </c>
      <c r="I54">
        <v>0</v>
      </c>
      <c r="J54">
        <v>0</v>
      </c>
      <c r="K54">
        <v>0.153846153846154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26"/>
  <sheetViews>
    <sheetView workbookViewId="0">
      <selection activeCell="J26" sqref="J26"/>
    </sheetView>
  </sheetViews>
  <sheetFormatPr defaultColWidth="11" defaultRowHeight="15"/>
  <sheetData>
    <row r="26" spans="10:10">
      <c r="J26">
        <v>10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exacta</vt:lpstr>
      <vt:lpstr>Hoja2</vt:lpstr>
      <vt:lpstr>DESAFIO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2022-09-20T14:34:00Z</dcterms:created>
  <dcterms:modified xsi:type="dcterms:W3CDTF">2026-03-26T23:31:47Z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546D7A74185F425BB3C876B8A1CB7C70_13</vt:lpwstr>
  </property>
  <property fmtid="{D5CDD505-2E9C-101B-9397-08002B2CF9AE}" pid="3" name="KSOProductBuildVer">
    <vt:lpwstr>2058-12.2.0.23196</vt:lpwstr>
  </property>
</Properties>
</file>